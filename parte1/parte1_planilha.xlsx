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xr:revisionPtr revIDLastSave="0" documentId="8_{E24EB756-CDC2-437A-97B3-13FC6A48EC35}" xr6:coauthVersionLast="47" xr6:coauthVersionMax="47" xr10:uidLastSave="{00000000-0000-0000-0000-000000000000}"/>
  <bookViews>
    <workbookView xWindow="0" yWindow="0" windowWidth="0" windowHeight="0" activeTab="2" xr2:uid="{00000000-000D-0000-FFFF-FFFF00000000}"/>
  </bookViews>
  <sheets>
    <sheet name="Traço Principal" sheetId="1" r:id="rId1"/>
    <sheet name="Teste de Conflito" sheetId="2" r:id="rId2"/>
    <sheet name="Resumo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3" l="1"/>
  <c r="B18" i="3"/>
  <c r="B16" i="3"/>
  <c r="O6" i="2"/>
  <c r="C3" i="2"/>
  <c r="E3" i="2"/>
  <c r="G3" i="2"/>
  <c r="H3" i="2"/>
  <c r="D3" i="2"/>
  <c r="I3" i="2"/>
  <c r="J3" i="2"/>
  <c r="C4" i="2"/>
  <c r="E4" i="2"/>
  <c r="L3" i="2"/>
  <c r="G4" i="2"/>
  <c r="H4" i="2"/>
  <c r="D4" i="2"/>
  <c r="I4" i="2"/>
  <c r="J4" i="2"/>
  <c r="C5" i="2"/>
  <c r="E5" i="2"/>
  <c r="L4" i="2"/>
  <c r="G5" i="2"/>
  <c r="H5" i="2"/>
  <c r="D5" i="2"/>
  <c r="I5" i="2"/>
  <c r="J5" i="2"/>
  <c r="C6" i="2"/>
  <c r="E6" i="2"/>
  <c r="L5" i="2"/>
  <c r="G6" i="2"/>
  <c r="H6" i="2"/>
  <c r="D6" i="2"/>
  <c r="I6" i="2"/>
  <c r="J6" i="2"/>
  <c r="B25" i="3"/>
  <c r="B24" i="3"/>
  <c r="B23" i="3"/>
  <c r="B22" i="3"/>
  <c r="B21" i="3"/>
  <c r="C3" i="1"/>
  <c r="E3" i="1"/>
  <c r="G3" i="1"/>
  <c r="H3" i="1"/>
  <c r="D3" i="1"/>
  <c r="I3" i="1"/>
  <c r="C4" i="1"/>
  <c r="E4" i="1"/>
  <c r="L3" i="1"/>
  <c r="G4" i="1"/>
  <c r="H4" i="1"/>
  <c r="D4" i="1"/>
  <c r="I4" i="1"/>
  <c r="C5" i="1"/>
  <c r="E5" i="1"/>
  <c r="M3" i="1"/>
  <c r="M4" i="1"/>
  <c r="G5" i="1"/>
  <c r="H5" i="1"/>
  <c r="D5" i="1"/>
  <c r="I5" i="1"/>
  <c r="C6" i="1"/>
  <c r="E6" i="1"/>
  <c r="M5" i="1"/>
  <c r="G6" i="1"/>
  <c r="H6" i="1"/>
  <c r="D6" i="1"/>
  <c r="I6" i="1"/>
  <c r="C7" i="1"/>
  <c r="E7" i="1"/>
  <c r="L4" i="1"/>
  <c r="L5" i="1"/>
  <c r="L6" i="1"/>
  <c r="G7" i="1"/>
  <c r="H7" i="1"/>
  <c r="D7" i="1"/>
  <c r="I7" i="1"/>
  <c r="C8" i="1"/>
  <c r="E8" i="1"/>
  <c r="L7" i="1"/>
  <c r="G8" i="1"/>
  <c r="D8" i="1"/>
  <c r="C11" i="1"/>
  <c r="E11" i="1"/>
  <c r="C10" i="1"/>
  <c r="E10" i="1"/>
  <c r="C9" i="1"/>
  <c r="E9" i="1"/>
  <c r="N3" i="1"/>
  <c r="N4" i="1"/>
  <c r="N5" i="1"/>
  <c r="N6" i="1"/>
  <c r="N7" i="1"/>
  <c r="N8" i="1"/>
  <c r="N9" i="1"/>
  <c r="N10" i="1"/>
  <c r="G11" i="1"/>
  <c r="H11" i="1"/>
  <c r="D11" i="1"/>
  <c r="I11" i="1"/>
  <c r="C12" i="1"/>
  <c r="E12" i="1"/>
  <c r="N11" i="1"/>
  <c r="G12" i="1"/>
  <c r="H12" i="1"/>
  <c r="D12" i="1"/>
  <c r="I12" i="1"/>
  <c r="C13" i="1"/>
  <c r="E13" i="1"/>
  <c r="O3" i="1"/>
  <c r="O4" i="1"/>
  <c r="O5" i="1"/>
  <c r="O6" i="1"/>
  <c r="O7" i="1"/>
  <c r="O8" i="1"/>
  <c r="O9" i="1"/>
  <c r="O10" i="1"/>
  <c r="O11" i="1"/>
  <c r="O12" i="1"/>
  <c r="G13" i="1"/>
  <c r="H13" i="1"/>
  <c r="D13" i="1"/>
  <c r="I13" i="1"/>
  <c r="C14" i="1"/>
  <c r="E14" i="1"/>
  <c r="O13" i="1"/>
  <c r="G14" i="1"/>
  <c r="H14" i="1"/>
  <c r="D14" i="1"/>
  <c r="I14" i="1"/>
  <c r="C15" i="1"/>
  <c r="E15" i="1"/>
  <c r="M6" i="1"/>
  <c r="M7" i="1"/>
  <c r="M8" i="1"/>
  <c r="M9" i="1"/>
  <c r="M10" i="1"/>
  <c r="M11" i="1"/>
  <c r="M12" i="1"/>
  <c r="M13" i="1"/>
  <c r="M14" i="1"/>
  <c r="G15" i="1"/>
  <c r="H15" i="1"/>
  <c r="D15" i="1"/>
  <c r="I15" i="1"/>
  <c r="C18" i="1"/>
  <c r="E18" i="1"/>
  <c r="C17" i="1"/>
  <c r="E17" i="1"/>
  <c r="D17" i="1"/>
  <c r="M17" i="1"/>
  <c r="G18" i="1"/>
  <c r="H18" i="1"/>
  <c r="D18" i="1"/>
  <c r="I18" i="1"/>
  <c r="B11" i="3"/>
  <c r="J3" i="1"/>
  <c r="J4" i="1"/>
  <c r="J5" i="1"/>
  <c r="J6" i="1"/>
  <c r="J7" i="1"/>
  <c r="L8" i="1"/>
  <c r="G9" i="1"/>
  <c r="J9" i="1"/>
  <c r="D9" i="1"/>
  <c r="L9" i="1"/>
  <c r="G10" i="1"/>
  <c r="J10" i="1"/>
  <c r="J11" i="1"/>
  <c r="J12" i="1"/>
  <c r="J13" i="1"/>
  <c r="J14" i="1"/>
  <c r="J15" i="1"/>
  <c r="C16" i="1"/>
  <c r="E16" i="1"/>
  <c r="M15" i="1"/>
  <c r="G16" i="1"/>
  <c r="J16" i="1"/>
  <c r="D16" i="1"/>
  <c r="M16" i="1"/>
  <c r="G17" i="1"/>
  <c r="J17" i="1"/>
  <c r="J18" i="1"/>
  <c r="O3" i="2"/>
  <c r="O4" i="2"/>
  <c r="O5" i="2"/>
  <c r="N3" i="2"/>
  <c r="N4" i="2"/>
  <c r="N5" i="2"/>
  <c r="N6" i="2"/>
  <c r="M3" i="2"/>
  <c r="M4" i="2"/>
  <c r="M5" i="2"/>
  <c r="M6" i="2"/>
  <c r="L6" i="2"/>
  <c r="K6" i="2"/>
  <c r="F6" i="2"/>
  <c r="K5" i="2"/>
  <c r="F5" i="2"/>
  <c r="K4" i="2"/>
  <c r="F4" i="2"/>
  <c r="K3" i="2"/>
  <c r="F3" i="2"/>
  <c r="O14" i="1"/>
  <c r="O15" i="1"/>
  <c r="O16" i="1"/>
  <c r="O17" i="1"/>
  <c r="O18" i="1"/>
  <c r="N12" i="1"/>
  <c r="N13" i="1"/>
  <c r="N14" i="1"/>
  <c r="N15" i="1"/>
  <c r="N16" i="1"/>
  <c r="N17" i="1"/>
  <c r="N18" i="1"/>
  <c r="M18" i="1"/>
  <c r="D10" i="1"/>
  <c r="L10" i="1"/>
  <c r="L11" i="1"/>
  <c r="L12" i="1"/>
  <c r="L13" i="1"/>
  <c r="L14" i="1"/>
  <c r="L15" i="1"/>
  <c r="L16" i="1"/>
  <c r="L17" i="1"/>
  <c r="L18" i="1"/>
  <c r="K18" i="1"/>
  <c r="F18" i="1"/>
  <c r="K17" i="1"/>
  <c r="H17" i="1"/>
  <c r="F17" i="1"/>
  <c r="K16" i="1"/>
  <c r="H16" i="1"/>
  <c r="F16" i="1"/>
  <c r="K15" i="1"/>
  <c r="F15" i="1"/>
  <c r="K14" i="1"/>
  <c r="F14" i="1"/>
  <c r="K13" i="1"/>
  <c r="F13" i="1"/>
  <c r="K12" i="1"/>
  <c r="F12" i="1"/>
  <c r="K11" i="1"/>
  <c r="F11" i="1"/>
  <c r="K10" i="1"/>
  <c r="H10" i="1"/>
  <c r="F10" i="1"/>
  <c r="K9" i="1"/>
  <c r="H9" i="1"/>
  <c r="F9" i="1"/>
  <c r="K8" i="1"/>
  <c r="F8" i="1"/>
  <c r="K7" i="1"/>
  <c r="F7" i="1"/>
  <c r="K6" i="1"/>
  <c r="F6" i="1"/>
  <c r="K5" i="1"/>
  <c r="F5" i="1"/>
  <c r="K4" i="1"/>
  <c r="F4" i="1"/>
  <c r="K3" i="1"/>
  <c r="F3" i="1"/>
  <c r="H8" i="1" l="1"/>
  <c r="I8" i="1" s="1"/>
  <c r="B13" i="3" l="1"/>
  <c r="B12" i="3"/>
  <c r="J8" i="1"/>
  <c r="B15" i="3" l="1"/>
  <c r="B14" i="3"/>
</calcChain>
</file>

<file path=xl/sharedStrings.xml><?xml version="1.0" encoding="utf-8"?>
<sst xmlns="http://schemas.openxmlformats.org/spreadsheetml/2006/main" count="110" uniqueCount="60">
  <si>
    <t>acesso</t>
  </si>
  <si>
    <t>endereco_hex</t>
  </si>
  <si>
    <t>endereco_bin</t>
  </si>
  <si>
    <t>rotulo</t>
  </si>
  <si>
    <t>indice</t>
  </si>
  <si>
    <t>deslocamento</t>
  </si>
  <si>
    <t>valido_antes</t>
  </si>
  <si>
    <t>rotulo_armazenado_antes</t>
  </si>
  <si>
    <t>resultado</t>
  </si>
  <si>
    <t>tipo_falta</t>
  </si>
  <si>
    <t>rotulo_apos</t>
  </si>
  <si>
    <t>L0</t>
  </si>
  <si>
    <t>L1</t>
  </si>
  <si>
    <t>L2</t>
  </si>
  <si>
    <t>L3</t>
  </si>
  <si>
    <t>reset</t>
  </si>
  <si>
    <t>cache invalidada</t>
  </si>
  <si>
    <t>-</t>
  </si>
  <si>
    <t>0x00</t>
  </si>
  <si>
    <t>0x01</t>
  </si>
  <si>
    <t>0x02</t>
  </si>
  <si>
    <t>0x03</t>
  </si>
  <si>
    <t>0x20</t>
  </si>
  <si>
    <t>0x21</t>
  </si>
  <si>
    <t>falta</t>
  </si>
  <si>
    <t>Acerta</t>
  </si>
  <si>
    <t>0x04</t>
  </si>
  <si>
    <t>0x05</t>
  </si>
  <si>
    <t>0x06</t>
  </si>
  <si>
    <t>0x07</t>
  </si>
  <si>
    <t>0x22</t>
  </si>
  <si>
    <t>0x23</t>
  </si>
  <si>
    <t xml:space="preserve">falta </t>
  </si>
  <si>
    <t>acerta</t>
  </si>
  <si>
    <t>0x10</t>
  </si>
  <si>
    <t>0x18</t>
  </si>
  <si>
    <t>0x28</t>
  </si>
  <si>
    <t>0x38</t>
  </si>
  <si>
    <t>PARÂMETROS DA CACHE (fornecidos — Tabela 7 do enunciado)</t>
  </si>
  <si>
    <t>Organização</t>
  </si>
  <si>
    <t>Mapeamento direto</t>
  </si>
  <si>
    <t>Número de linhas</t>
  </si>
  <si>
    <t>Tamanho do bloco (bytes)</t>
  </si>
  <si>
    <t>Bits de rótulo / índice / deslocamento</t>
  </si>
  <si>
    <t>3 / 2 / 1</t>
  </si>
  <si>
    <t>Operações atendidas</t>
  </si>
  <si>
    <t>somente leitura</t>
  </si>
  <si>
    <t>Tempo de acerto (ciclos)</t>
  </si>
  <si>
    <t>Penalidade de falta (ciclos)</t>
  </si>
  <si>
    <t>INDICADORES — TRAÇO PRINCIPAL (Seção 5.5.2 do enunciado)</t>
  </si>
  <si>
    <t>Total de acessos</t>
  </si>
  <si>
    <t>Acertos</t>
  </si>
  <si>
    <t>Faltas</t>
  </si>
  <si>
    <t>Faltas compulsórias</t>
  </si>
  <si>
    <t>Faltas por conflito</t>
  </si>
  <si>
    <t>Taxa de acertos</t>
  </si>
  <si>
    <t>Taxa de faltas</t>
  </si>
  <si>
    <t>AMAT (ciclos)</t>
  </si>
  <si>
    <t>INDICADORES — TESTE DE CONFLITO (Seção 5.6 do enunciado)</t>
  </si>
  <si>
    <t>Total de acessos (Primos)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</si>
</sst>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>
    <font>
      <sz val="11"/>
      <name val="Calibri"/>
      <scheme val="minor"/>
    </font>
    <font>
      <sz val="11"/>
      <name val="Calibri"/>
    </font>
    <font>
      <i/>
      <sz val="9"/>
      <name val="Calibri"/>
    </font>
    <font>
      <b/>
      <sz val="10"/>
      <color rgb="FFFFFFFF"/>
      <name val="Calibri"/>
    </font>
    <font>
      <sz val="10"/>
      <name val="Calibri"/>
    </font>
    <font>
      <b/>
      <sz val="10"/>
      <name val="Calibri"/>
    </font>
    <font>
      <u/>
      <sz val="11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CE6F1"/>
        <bgColor rgb="FFDCE6F1"/>
      </patternFill>
    </fill>
    <fill>
      <patternFill patternType="solid">
        <fgColor rgb="FF4472C4"/>
        <bgColor rgb="FF4472C4"/>
      </patternFill>
    </fill>
    <fill>
      <patternFill patternType="solid">
        <fgColor rgb="FF595959"/>
        <bgColor rgb="FF595959"/>
      </patternFill>
    </fill>
    <fill>
      <patternFill patternType="solid">
        <fgColor rgb="FFE9E9E9"/>
        <bgColor rgb="FFE9E9E9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3">
    <xf numFmtId="0" fontId="0" fillId="0" borderId="0" xfId="0" applyFont="1" applyAlignment="1"/>
    <xf numFmtId="0" fontId="3" fillId="2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right" vertical="center"/>
    </xf>
    <xf numFmtId="3" fontId="5" fillId="7" borderId="3" xfId="0" applyNumberFormat="1" applyFont="1" applyFill="1" applyBorder="1" applyAlignment="1">
      <alignment horizontal="right" vertical="center"/>
    </xf>
    <xf numFmtId="164" fontId="5" fillId="7" borderId="3" xfId="0" applyNumberFormat="1" applyFont="1" applyFill="1" applyBorder="1" applyAlignment="1">
      <alignment horizontal="right" vertical="center"/>
    </xf>
    <xf numFmtId="2" fontId="5" fillId="7" borderId="3" xfId="0" applyNumberFormat="1" applyFont="1" applyFill="1" applyBorder="1" applyAlignment="1">
      <alignment horizontal="right" vertical="center"/>
    </xf>
    <xf numFmtId="0" fontId="0" fillId="0" borderId="0" xfId="0" applyFont="1" applyAlignment="1"/>
    <xf numFmtId="0" fontId="6" fillId="0" borderId="0" xfId="0" applyFont="1" applyAlignment="1"/>
    <xf numFmtId="0" fontId="3" fillId="2" borderId="1" xfId="0" applyFont="1" applyFill="1" applyBorder="1" applyAlignment="1">
      <alignment horizontal="left" vertical="center"/>
    </xf>
    <xf numFmtId="0" fontId="1" fillId="0" borderId="1" xfId="0" applyFont="1" applyBorder="1" applyAlignment="1"/>
    <xf numFmtId="0" fontId="3" fillId="4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"/>
  <sheetViews>
    <sheetView workbookViewId="0">
      <selection activeCell="P22" sqref="P22"/>
    </sheetView>
  </sheetViews>
  <sheetFormatPr defaultColWidth="12.7109375" defaultRowHeight="15" customHeight="1"/>
  <cols>
    <col min="1" max="1" width="7" customWidth="1"/>
    <col min="2" max="3" width="14" customWidth="1"/>
    <col min="4" max="5" width="11.42578125" customWidth="1"/>
    <col min="6" max="7" width="14" customWidth="1"/>
    <col min="8" max="8" width="21" customWidth="1"/>
    <col min="9" max="9" width="11.42578125" customWidth="1"/>
    <col min="10" max="10" width="14" customWidth="1"/>
    <col min="11" max="11" width="13.140625" customWidth="1"/>
    <col min="12" max="16" width="11.42578125" customWidth="1"/>
  </cols>
  <sheetData>
    <row r="1" spans="1:16" ht="18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/>
    </row>
    <row r="2" spans="1:16">
      <c r="A2" s="5" t="s">
        <v>15</v>
      </c>
      <c r="B2" s="5" t="s">
        <v>16</v>
      </c>
      <c r="C2" s="5" t="s">
        <v>17</v>
      </c>
      <c r="D2" s="5" t="s">
        <v>17</v>
      </c>
      <c r="E2" s="5" t="s">
        <v>17</v>
      </c>
      <c r="F2" s="5" t="s">
        <v>17</v>
      </c>
      <c r="G2" s="5" t="s">
        <v>17</v>
      </c>
      <c r="H2" s="5" t="s">
        <v>17</v>
      </c>
      <c r="I2" s="5" t="s">
        <v>17</v>
      </c>
      <c r="J2" s="5" t="s">
        <v>17</v>
      </c>
      <c r="K2" s="5" t="s">
        <v>17</v>
      </c>
      <c r="L2" s="5" t="s">
        <v>17</v>
      </c>
      <c r="M2" s="5" t="s">
        <v>17</v>
      </c>
      <c r="N2" s="5" t="s">
        <v>17</v>
      </c>
      <c r="O2" s="5" t="s">
        <v>17</v>
      </c>
      <c r="P2" s="6"/>
    </row>
    <row r="3" spans="1:16">
      <c r="A3" s="7">
        <v>1</v>
      </c>
      <c r="B3" s="7" t="s">
        <v>18</v>
      </c>
      <c r="C3" s="9" t="str">
        <f t="shared" ref="C3:C18" si="0">DEC2BIN(HEX2DEC(MID(B3,3,2)),6)</f>
        <v>000000</v>
      </c>
      <c r="D3" s="9" t="str">
        <f t="shared" ref="D3:D18" si="1">LEFT(C3,3)</f>
        <v>000</v>
      </c>
      <c r="E3" s="9" t="str">
        <f t="shared" ref="E3:E18" si="2">MID(C3,4,2)</f>
        <v>00</v>
      </c>
      <c r="F3" s="9">
        <f t="shared" ref="F3:F18" si="3">VALUE(RIGHT(C3,1))</f>
        <v>0</v>
      </c>
      <c r="G3" s="9">
        <f t="shared" ref="G3:G18" si="4">IF(INDEX(L2:O2,1,BIN2DEC(E3)+1)="-",0,1)</f>
        <v>0</v>
      </c>
      <c r="H3" s="9" t="str">
        <f t="shared" ref="H3:H18" si="5">INDEX(L2:O2,1,BIN2DEC(E3)+1)</f>
        <v>-</v>
      </c>
      <c r="I3" s="9" t="str">
        <f t="shared" ref="I3:I8" si="6">IF(AND(G3=1,H3=D3),"ACERTO","FALTA")</f>
        <v>FALTA</v>
      </c>
      <c r="J3" s="9" t="str">
        <f t="shared" ref="J3:J18" si="7">IF(I3="ACERTO","-",IF(G3=0,"compulsoria","conflito"))</f>
        <v>compulsoria</v>
      </c>
      <c r="K3" s="9" t="str">
        <f t="shared" ref="K3:K18" si="8">D3</f>
        <v>000</v>
      </c>
      <c r="L3" s="8" t="str">
        <f t="shared" ref="L3:L18" si="9">IF(E3="00",D3,L2)</f>
        <v>000</v>
      </c>
      <c r="M3" s="8" t="str">
        <f t="shared" ref="M3:M18" si="10">IF(E3="01",D3,M2)</f>
        <v>-</v>
      </c>
      <c r="N3" s="8" t="str">
        <f t="shared" ref="N3:N18" si="11">IF(E3="10",D3,N2)</f>
        <v>-</v>
      </c>
      <c r="O3" s="8" t="str">
        <f t="shared" ref="O3:O18" si="12">IF(E3="11",D3,O2)</f>
        <v>-</v>
      </c>
      <c r="P3" s="10"/>
    </row>
    <row r="4" spans="1:16" ht="15" customHeight="1">
      <c r="A4" s="7">
        <v>2</v>
      </c>
      <c r="B4" s="7" t="s">
        <v>19</v>
      </c>
      <c r="C4" s="9" t="str">
        <f t="shared" si="0"/>
        <v>000001</v>
      </c>
      <c r="D4" s="9" t="str">
        <f t="shared" si="1"/>
        <v>000</v>
      </c>
      <c r="E4" s="9" t="str">
        <f t="shared" si="2"/>
        <v>00</v>
      </c>
      <c r="F4" s="9">
        <f t="shared" si="3"/>
        <v>1</v>
      </c>
      <c r="G4" s="9">
        <f t="shared" si="4"/>
        <v>1</v>
      </c>
      <c r="H4" s="9" t="str">
        <f t="shared" si="5"/>
        <v>000</v>
      </c>
      <c r="I4" s="9" t="str">
        <f t="shared" si="6"/>
        <v>ACERTO</v>
      </c>
      <c r="J4" s="9" t="str">
        <f t="shared" si="7"/>
        <v>-</v>
      </c>
      <c r="K4" s="9" t="str">
        <f t="shared" si="8"/>
        <v>000</v>
      </c>
      <c r="L4" s="8" t="str">
        <f t="shared" si="9"/>
        <v>000</v>
      </c>
      <c r="M4" s="8" t="str">
        <f t="shared" si="10"/>
        <v>-</v>
      </c>
      <c r="N4" s="8" t="str">
        <f t="shared" si="11"/>
        <v>-</v>
      </c>
      <c r="O4" s="8" t="str">
        <f t="shared" si="12"/>
        <v>-</v>
      </c>
      <c r="P4" s="10"/>
    </row>
    <row r="5" spans="1:16">
      <c r="A5" s="7">
        <v>3</v>
      </c>
      <c r="B5" s="7" t="s">
        <v>20</v>
      </c>
      <c r="C5" s="9" t="str">
        <f t="shared" si="0"/>
        <v>000010</v>
      </c>
      <c r="D5" s="9" t="str">
        <f t="shared" si="1"/>
        <v>000</v>
      </c>
      <c r="E5" s="9" t="str">
        <f t="shared" si="2"/>
        <v>01</v>
      </c>
      <c r="F5" s="9">
        <f t="shared" si="3"/>
        <v>0</v>
      </c>
      <c r="G5" s="9">
        <f t="shared" si="4"/>
        <v>0</v>
      </c>
      <c r="H5" s="9" t="str">
        <f t="shared" si="5"/>
        <v>-</v>
      </c>
      <c r="I5" s="9" t="str">
        <f t="shared" si="6"/>
        <v>FALTA</v>
      </c>
      <c r="J5" s="9" t="str">
        <f t="shared" si="7"/>
        <v>compulsoria</v>
      </c>
      <c r="K5" s="9" t="str">
        <f t="shared" si="8"/>
        <v>000</v>
      </c>
      <c r="L5" s="8" t="str">
        <f t="shared" si="9"/>
        <v>000</v>
      </c>
      <c r="M5" s="8" t="str">
        <f t="shared" si="10"/>
        <v>000</v>
      </c>
      <c r="N5" s="8" t="str">
        <f t="shared" si="11"/>
        <v>-</v>
      </c>
      <c r="O5" s="8" t="str">
        <f t="shared" si="12"/>
        <v>-</v>
      </c>
      <c r="P5" s="10"/>
    </row>
    <row r="6" spans="1:16">
      <c r="A6" s="7">
        <v>4</v>
      </c>
      <c r="B6" s="7" t="s">
        <v>21</v>
      </c>
      <c r="C6" s="9" t="str">
        <f t="shared" si="0"/>
        <v>000011</v>
      </c>
      <c r="D6" s="9" t="str">
        <f t="shared" si="1"/>
        <v>000</v>
      </c>
      <c r="E6" s="9" t="str">
        <f t="shared" si="2"/>
        <v>01</v>
      </c>
      <c r="F6" s="9">
        <f t="shared" si="3"/>
        <v>1</v>
      </c>
      <c r="G6" s="9">
        <f t="shared" si="4"/>
        <v>1</v>
      </c>
      <c r="H6" s="9" t="str">
        <f t="shared" si="5"/>
        <v>000</v>
      </c>
      <c r="I6" s="9" t="str">
        <f t="shared" si="6"/>
        <v>ACERTO</v>
      </c>
      <c r="J6" s="9" t="str">
        <f t="shared" si="7"/>
        <v>-</v>
      </c>
      <c r="K6" s="9" t="str">
        <f t="shared" si="8"/>
        <v>000</v>
      </c>
      <c r="L6" s="8" t="str">
        <f t="shared" si="9"/>
        <v>000</v>
      </c>
      <c r="M6" s="8" t="str">
        <f t="shared" si="10"/>
        <v>000</v>
      </c>
      <c r="N6" s="8" t="str">
        <f t="shared" si="11"/>
        <v>-</v>
      </c>
      <c r="O6" s="8" t="str">
        <f t="shared" si="12"/>
        <v>-</v>
      </c>
      <c r="P6" s="10"/>
    </row>
    <row r="7" spans="1:16">
      <c r="A7" s="7">
        <v>5</v>
      </c>
      <c r="B7" s="7" t="s">
        <v>18</v>
      </c>
      <c r="C7" s="9" t="str">
        <f t="shared" si="0"/>
        <v>000000</v>
      </c>
      <c r="D7" s="9" t="str">
        <f t="shared" si="1"/>
        <v>000</v>
      </c>
      <c r="E7" s="9" t="str">
        <f t="shared" si="2"/>
        <v>00</v>
      </c>
      <c r="F7" s="9">
        <f t="shared" si="3"/>
        <v>0</v>
      </c>
      <c r="G7" s="9">
        <f t="shared" si="4"/>
        <v>1</v>
      </c>
      <c r="H7" s="9" t="str">
        <f t="shared" si="5"/>
        <v>000</v>
      </c>
      <c r="I7" s="9" t="str">
        <f t="shared" si="6"/>
        <v>ACERTO</v>
      </c>
      <c r="J7" s="9" t="str">
        <f t="shared" si="7"/>
        <v>-</v>
      </c>
      <c r="K7" s="9" t="str">
        <f t="shared" si="8"/>
        <v>000</v>
      </c>
      <c r="L7" s="8" t="str">
        <f t="shared" si="9"/>
        <v>000</v>
      </c>
      <c r="M7" s="8" t="str">
        <f t="shared" si="10"/>
        <v>000</v>
      </c>
      <c r="N7" s="8" t="str">
        <f t="shared" si="11"/>
        <v>-</v>
      </c>
      <c r="O7" s="8" t="str">
        <f t="shared" si="12"/>
        <v>-</v>
      </c>
      <c r="P7" s="10"/>
    </row>
    <row r="8" spans="1:16">
      <c r="A8" s="7">
        <v>6</v>
      </c>
      <c r="B8" s="7" t="s">
        <v>22</v>
      </c>
      <c r="C8" s="9" t="str">
        <f t="shared" si="0"/>
        <v>100000</v>
      </c>
      <c r="D8" s="9" t="str">
        <f t="shared" si="1"/>
        <v>100</v>
      </c>
      <c r="E8" s="9" t="str">
        <f t="shared" si="2"/>
        <v>00</v>
      </c>
      <c r="F8" s="9">
        <f t="shared" si="3"/>
        <v>0</v>
      </c>
      <c r="G8" s="9">
        <f t="shared" si="4"/>
        <v>1</v>
      </c>
      <c r="H8" s="9" t="str">
        <f t="shared" si="5"/>
        <v>000</v>
      </c>
      <c r="I8" s="9" t="str">
        <f t="shared" si="6"/>
        <v>FALTA</v>
      </c>
      <c r="J8" s="9" t="str">
        <f t="shared" si="7"/>
        <v>conflito</v>
      </c>
      <c r="K8" s="9" t="str">
        <f t="shared" si="8"/>
        <v>100</v>
      </c>
      <c r="L8" s="8" t="str">
        <f t="shared" si="9"/>
        <v>100</v>
      </c>
      <c r="M8" s="8" t="str">
        <f t="shared" si="10"/>
        <v>000</v>
      </c>
      <c r="N8" s="8" t="str">
        <f t="shared" si="11"/>
        <v>-</v>
      </c>
      <c r="O8" s="8" t="str">
        <f t="shared" si="12"/>
        <v>-</v>
      </c>
      <c r="P8" s="10"/>
    </row>
    <row r="9" spans="1:16">
      <c r="A9" s="7">
        <v>7</v>
      </c>
      <c r="B9" s="7" t="s">
        <v>23</v>
      </c>
      <c r="C9" s="9" t="str">
        <f t="shared" si="0"/>
        <v>100001</v>
      </c>
      <c r="D9" s="9" t="str">
        <f t="shared" si="1"/>
        <v>100</v>
      </c>
      <c r="E9" s="9" t="str">
        <f t="shared" si="2"/>
        <v>00</v>
      </c>
      <c r="F9" s="9">
        <f t="shared" si="3"/>
        <v>1</v>
      </c>
      <c r="G9" s="9">
        <f t="shared" si="4"/>
        <v>1</v>
      </c>
      <c r="H9" s="9" t="str">
        <f t="shared" si="5"/>
        <v>100</v>
      </c>
      <c r="I9" s="9" t="s">
        <v>24</v>
      </c>
      <c r="J9" s="9" t="str">
        <f t="shared" si="7"/>
        <v>conflito</v>
      </c>
      <c r="K9" s="9" t="str">
        <f t="shared" si="8"/>
        <v>100</v>
      </c>
      <c r="L9" s="8" t="str">
        <f t="shared" si="9"/>
        <v>100</v>
      </c>
      <c r="M9" s="8" t="str">
        <f t="shared" si="10"/>
        <v>000</v>
      </c>
      <c r="N9" s="8" t="str">
        <f t="shared" si="11"/>
        <v>-</v>
      </c>
      <c r="O9" s="8" t="str">
        <f t="shared" si="12"/>
        <v>-</v>
      </c>
      <c r="P9" s="10"/>
    </row>
    <row r="10" spans="1:16">
      <c r="A10" s="7">
        <v>8</v>
      </c>
      <c r="B10" s="7" t="s">
        <v>18</v>
      </c>
      <c r="C10" s="9" t="str">
        <f t="shared" si="0"/>
        <v>000000</v>
      </c>
      <c r="D10" s="9" t="str">
        <f t="shared" si="1"/>
        <v>000</v>
      </c>
      <c r="E10" s="9" t="str">
        <f t="shared" si="2"/>
        <v>00</v>
      </c>
      <c r="F10" s="9">
        <f t="shared" si="3"/>
        <v>0</v>
      </c>
      <c r="G10" s="9">
        <f t="shared" si="4"/>
        <v>1</v>
      </c>
      <c r="H10" s="9" t="str">
        <f t="shared" si="5"/>
        <v>100</v>
      </c>
      <c r="I10" s="9" t="s">
        <v>25</v>
      </c>
      <c r="J10" s="9" t="str">
        <f t="shared" si="7"/>
        <v>conflito</v>
      </c>
      <c r="K10" s="9" t="str">
        <f t="shared" si="8"/>
        <v>000</v>
      </c>
      <c r="L10" s="8" t="str">
        <f t="shared" si="9"/>
        <v>000</v>
      </c>
      <c r="M10" s="8" t="str">
        <f t="shared" si="10"/>
        <v>000</v>
      </c>
      <c r="N10" s="8" t="str">
        <f t="shared" si="11"/>
        <v>-</v>
      </c>
      <c r="O10" s="8" t="str">
        <f t="shared" si="12"/>
        <v>-</v>
      </c>
      <c r="P10" s="10"/>
    </row>
    <row r="11" spans="1:16">
      <c r="A11" s="7">
        <v>9</v>
      </c>
      <c r="B11" s="7" t="s">
        <v>26</v>
      </c>
      <c r="C11" s="9" t="str">
        <f t="shared" si="0"/>
        <v>000100</v>
      </c>
      <c r="D11" s="9" t="str">
        <f t="shared" si="1"/>
        <v>000</v>
      </c>
      <c r="E11" s="9" t="str">
        <f t="shared" si="2"/>
        <v>10</v>
      </c>
      <c r="F11" s="9">
        <f t="shared" si="3"/>
        <v>0</v>
      </c>
      <c r="G11" s="9">
        <f t="shared" si="4"/>
        <v>0</v>
      </c>
      <c r="H11" s="9" t="str">
        <f t="shared" si="5"/>
        <v>-</v>
      </c>
      <c r="I11" s="9" t="str">
        <f t="shared" ref="I11:I15" si="13">IF(AND(G11=1,H11=D11),"ACERTO","FALTA")</f>
        <v>FALTA</v>
      </c>
      <c r="J11" s="9" t="str">
        <f t="shared" si="7"/>
        <v>compulsoria</v>
      </c>
      <c r="K11" s="9" t="str">
        <f t="shared" si="8"/>
        <v>000</v>
      </c>
      <c r="L11" s="8" t="str">
        <f t="shared" si="9"/>
        <v>000</v>
      </c>
      <c r="M11" s="8" t="str">
        <f t="shared" si="10"/>
        <v>000</v>
      </c>
      <c r="N11" s="8" t="str">
        <f t="shared" si="11"/>
        <v>000</v>
      </c>
      <c r="O11" s="8" t="str">
        <f t="shared" si="12"/>
        <v>-</v>
      </c>
      <c r="P11" s="10"/>
    </row>
    <row r="12" spans="1:16">
      <c r="A12" s="7">
        <v>10</v>
      </c>
      <c r="B12" s="7" t="s">
        <v>27</v>
      </c>
      <c r="C12" s="9" t="str">
        <f t="shared" si="0"/>
        <v>000101</v>
      </c>
      <c r="D12" s="9" t="str">
        <f t="shared" si="1"/>
        <v>000</v>
      </c>
      <c r="E12" s="9" t="str">
        <f t="shared" si="2"/>
        <v>10</v>
      </c>
      <c r="F12" s="9">
        <f t="shared" si="3"/>
        <v>1</v>
      </c>
      <c r="G12" s="9">
        <f t="shared" si="4"/>
        <v>1</v>
      </c>
      <c r="H12" s="9" t="str">
        <f t="shared" si="5"/>
        <v>000</v>
      </c>
      <c r="I12" s="9" t="str">
        <f t="shared" si="13"/>
        <v>ACERTO</v>
      </c>
      <c r="J12" s="9" t="str">
        <f t="shared" si="7"/>
        <v>-</v>
      </c>
      <c r="K12" s="9" t="str">
        <f t="shared" si="8"/>
        <v>000</v>
      </c>
      <c r="L12" s="8" t="str">
        <f t="shared" si="9"/>
        <v>000</v>
      </c>
      <c r="M12" s="8" t="str">
        <f t="shared" si="10"/>
        <v>000</v>
      </c>
      <c r="N12" s="8" t="str">
        <f t="shared" si="11"/>
        <v>000</v>
      </c>
      <c r="O12" s="8" t="str">
        <f t="shared" si="12"/>
        <v>-</v>
      </c>
      <c r="P12" s="10"/>
    </row>
    <row r="13" spans="1:16">
      <c r="A13" s="7">
        <v>11</v>
      </c>
      <c r="B13" s="7" t="s">
        <v>28</v>
      </c>
      <c r="C13" s="9" t="str">
        <f t="shared" si="0"/>
        <v>000110</v>
      </c>
      <c r="D13" s="9" t="str">
        <f t="shared" si="1"/>
        <v>000</v>
      </c>
      <c r="E13" s="9" t="str">
        <f t="shared" si="2"/>
        <v>11</v>
      </c>
      <c r="F13" s="9">
        <f t="shared" si="3"/>
        <v>0</v>
      </c>
      <c r="G13" s="9">
        <f t="shared" si="4"/>
        <v>0</v>
      </c>
      <c r="H13" s="9" t="str">
        <f t="shared" si="5"/>
        <v>-</v>
      </c>
      <c r="I13" s="9" t="str">
        <f t="shared" si="13"/>
        <v>FALTA</v>
      </c>
      <c r="J13" s="9" t="str">
        <f t="shared" si="7"/>
        <v>compulsoria</v>
      </c>
      <c r="K13" s="9" t="str">
        <f t="shared" si="8"/>
        <v>000</v>
      </c>
      <c r="L13" s="8" t="str">
        <f t="shared" si="9"/>
        <v>000</v>
      </c>
      <c r="M13" s="8" t="str">
        <f t="shared" si="10"/>
        <v>000</v>
      </c>
      <c r="N13" s="8" t="str">
        <f t="shared" si="11"/>
        <v>000</v>
      </c>
      <c r="O13" s="8" t="str">
        <f t="shared" si="12"/>
        <v>000</v>
      </c>
      <c r="P13" s="10"/>
    </row>
    <row r="14" spans="1:16">
      <c r="A14" s="7">
        <v>12</v>
      </c>
      <c r="B14" s="7" t="s">
        <v>29</v>
      </c>
      <c r="C14" s="9" t="str">
        <f t="shared" si="0"/>
        <v>000111</v>
      </c>
      <c r="D14" s="9" t="str">
        <f t="shared" si="1"/>
        <v>000</v>
      </c>
      <c r="E14" s="9" t="str">
        <f t="shared" si="2"/>
        <v>11</v>
      </c>
      <c r="F14" s="9">
        <f t="shared" si="3"/>
        <v>1</v>
      </c>
      <c r="G14" s="9">
        <f t="shared" si="4"/>
        <v>1</v>
      </c>
      <c r="H14" s="9" t="str">
        <f t="shared" si="5"/>
        <v>000</v>
      </c>
      <c r="I14" s="9" t="str">
        <f t="shared" si="13"/>
        <v>ACERTO</v>
      </c>
      <c r="J14" s="9" t="str">
        <f t="shared" si="7"/>
        <v>-</v>
      </c>
      <c r="K14" s="9" t="str">
        <f t="shared" si="8"/>
        <v>000</v>
      </c>
      <c r="L14" s="8" t="str">
        <f t="shared" si="9"/>
        <v>000</v>
      </c>
      <c r="M14" s="8" t="str">
        <f t="shared" si="10"/>
        <v>000</v>
      </c>
      <c r="N14" s="8" t="str">
        <f t="shared" si="11"/>
        <v>000</v>
      </c>
      <c r="O14" s="8" t="str">
        <f t="shared" si="12"/>
        <v>000</v>
      </c>
      <c r="P14" s="10"/>
    </row>
    <row r="15" spans="1:16">
      <c r="A15" s="7">
        <v>13</v>
      </c>
      <c r="B15" s="7" t="s">
        <v>30</v>
      </c>
      <c r="C15" s="9" t="str">
        <f t="shared" si="0"/>
        <v>100010</v>
      </c>
      <c r="D15" s="9" t="str">
        <f t="shared" si="1"/>
        <v>100</v>
      </c>
      <c r="E15" s="9" t="str">
        <f t="shared" si="2"/>
        <v>01</v>
      </c>
      <c r="F15" s="9">
        <f t="shared" si="3"/>
        <v>0</v>
      </c>
      <c r="G15" s="9">
        <f t="shared" si="4"/>
        <v>1</v>
      </c>
      <c r="H15" s="9" t="str">
        <f t="shared" si="5"/>
        <v>000</v>
      </c>
      <c r="I15" s="9" t="str">
        <f t="shared" si="13"/>
        <v>FALTA</v>
      </c>
      <c r="J15" s="9" t="str">
        <f t="shared" si="7"/>
        <v>conflito</v>
      </c>
      <c r="K15" s="9" t="str">
        <f t="shared" si="8"/>
        <v>100</v>
      </c>
      <c r="L15" s="8" t="str">
        <f t="shared" si="9"/>
        <v>000</v>
      </c>
      <c r="M15" s="8" t="str">
        <f t="shared" si="10"/>
        <v>100</v>
      </c>
      <c r="N15" s="8" t="str">
        <f t="shared" si="11"/>
        <v>000</v>
      </c>
      <c r="O15" s="8" t="str">
        <f t="shared" si="12"/>
        <v>000</v>
      </c>
      <c r="P15" s="10"/>
    </row>
    <row r="16" spans="1:16">
      <c r="A16" s="7">
        <v>14</v>
      </c>
      <c r="B16" s="7" t="s">
        <v>31</v>
      </c>
      <c r="C16" s="9" t="str">
        <f t="shared" si="0"/>
        <v>100011</v>
      </c>
      <c r="D16" s="9" t="str">
        <f t="shared" si="1"/>
        <v>100</v>
      </c>
      <c r="E16" s="9" t="str">
        <f t="shared" si="2"/>
        <v>01</v>
      </c>
      <c r="F16" s="9">
        <f t="shared" si="3"/>
        <v>1</v>
      </c>
      <c r="G16" s="9">
        <f t="shared" si="4"/>
        <v>1</v>
      </c>
      <c r="H16" s="9" t="str">
        <f t="shared" si="5"/>
        <v>100</v>
      </c>
      <c r="I16" s="9" t="s">
        <v>32</v>
      </c>
      <c r="J16" s="9" t="str">
        <f t="shared" si="7"/>
        <v>conflito</v>
      </c>
      <c r="K16" s="9" t="str">
        <f t="shared" si="8"/>
        <v>100</v>
      </c>
      <c r="L16" s="8" t="str">
        <f t="shared" si="9"/>
        <v>000</v>
      </c>
      <c r="M16" s="8" t="str">
        <f t="shared" si="10"/>
        <v>100</v>
      </c>
      <c r="N16" s="8" t="str">
        <f t="shared" si="11"/>
        <v>000</v>
      </c>
      <c r="O16" s="8" t="str">
        <f t="shared" si="12"/>
        <v>000</v>
      </c>
      <c r="P16" s="10"/>
    </row>
    <row r="17" spans="1:16">
      <c r="A17" s="7">
        <v>15</v>
      </c>
      <c r="B17" s="7" t="s">
        <v>20</v>
      </c>
      <c r="C17" s="9" t="str">
        <f t="shared" si="0"/>
        <v>000010</v>
      </c>
      <c r="D17" s="9" t="str">
        <f t="shared" si="1"/>
        <v>000</v>
      </c>
      <c r="E17" s="9" t="str">
        <f t="shared" si="2"/>
        <v>01</v>
      </c>
      <c r="F17" s="9">
        <f t="shared" si="3"/>
        <v>0</v>
      </c>
      <c r="G17" s="9">
        <f t="shared" si="4"/>
        <v>1</v>
      </c>
      <c r="H17" s="9" t="str">
        <f t="shared" si="5"/>
        <v>100</v>
      </c>
      <c r="I17" s="9" t="s">
        <v>33</v>
      </c>
      <c r="J17" s="9" t="str">
        <f t="shared" si="7"/>
        <v>conflito</v>
      </c>
      <c r="K17" s="9" t="str">
        <f t="shared" si="8"/>
        <v>000</v>
      </c>
      <c r="L17" s="8" t="str">
        <f t="shared" si="9"/>
        <v>000</v>
      </c>
      <c r="M17" s="8" t="str">
        <f t="shared" si="10"/>
        <v>000</v>
      </c>
      <c r="N17" s="8" t="str">
        <f t="shared" si="11"/>
        <v>000</v>
      </c>
      <c r="O17" s="8" t="str">
        <f t="shared" si="12"/>
        <v>000</v>
      </c>
      <c r="P17" s="10"/>
    </row>
    <row r="18" spans="1:16">
      <c r="A18" s="7">
        <v>16</v>
      </c>
      <c r="B18" s="7" t="s">
        <v>21</v>
      </c>
      <c r="C18" s="9" t="str">
        <f t="shared" si="0"/>
        <v>000011</v>
      </c>
      <c r="D18" s="9" t="str">
        <f t="shared" si="1"/>
        <v>000</v>
      </c>
      <c r="E18" s="9" t="str">
        <f t="shared" si="2"/>
        <v>01</v>
      </c>
      <c r="F18" s="9">
        <f t="shared" si="3"/>
        <v>1</v>
      </c>
      <c r="G18" s="9">
        <f t="shared" si="4"/>
        <v>1</v>
      </c>
      <c r="H18" s="9" t="str">
        <f t="shared" si="5"/>
        <v>000</v>
      </c>
      <c r="I18" s="9" t="str">
        <f>IF(AND(G18=1,H18=D18),"ACERTO","FALTA")</f>
        <v>ACERTO</v>
      </c>
      <c r="J18" s="9" t="str">
        <f t="shared" si="7"/>
        <v>-</v>
      </c>
      <c r="K18" s="9" t="str">
        <f t="shared" si="8"/>
        <v>000</v>
      </c>
      <c r="L18" s="8" t="str">
        <f t="shared" si="9"/>
        <v>000</v>
      </c>
      <c r="M18" s="8" t="str">
        <f t="shared" si="10"/>
        <v>000</v>
      </c>
      <c r="N18" s="8" t="str">
        <f t="shared" si="11"/>
        <v>000</v>
      </c>
      <c r="O18" s="8" t="str">
        <f t="shared" si="12"/>
        <v>000</v>
      </c>
      <c r="P18" s="10"/>
    </row>
    <row r="19" spans="1:16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</row>
    <row r="20" spans="1:16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</row>
    <row r="21" spans="1:16" ht="15.75" customHeight="1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</row>
    <row r="22" spans="1:16" ht="15.75" customHeight="1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</row>
    <row r="23" spans="1:16" ht="15.75" customHeight="1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</row>
    <row r="24" spans="1:16" ht="15.75" customHeight="1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</row>
    <row r="25" spans="1:16" ht="15.75" customHeight="1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</row>
    <row r="26" spans="1:16" ht="15.75" customHeight="1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</row>
    <row r="27" spans="1:16" ht="15.75" customHeight="1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</row>
    <row r="28" spans="1:16" ht="15.75" customHeight="1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</row>
    <row r="29" spans="1:16" ht="15.75" customHeight="1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</row>
    <row r="30" spans="1:16" ht="15.75" customHeight="1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</row>
    <row r="31" spans="1:16" ht="15.75" customHeight="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</row>
    <row r="32" spans="1:16" ht="15.75" customHeight="1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>
      <selection activeCell="O6" sqref="A2:O6"/>
    </sheetView>
  </sheetViews>
  <sheetFormatPr defaultColWidth="12.7109375" defaultRowHeight="15" customHeight="1"/>
  <cols>
    <col min="1" max="1" width="7" customWidth="1"/>
    <col min="2" max="3" width="14" customWidth="1"/>
    <col min="4" max="5" width="11.42578125" customWidth="1"/>
    <col min="6" max="7" width="14" customWidth="1"/>
    <col min="8" max="8" width="21" customWidth="1"/>
    <col min="9" max="9" width="11.42578125" customWidth="1"/>
    <col min="10" max="10" width="14" customWidth="1"/>
    <col min="11" max="11" width="13.140625" customWidth="1"/>
    <col min="12" max="15" width="11.42578125" customWidth="1"/>
  </cols>
  <sheetData>
    <row r="1" spans="1:15" ht="18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spans="1:15">
      <c r="A2" s="5" t="s">
        <v>15</v>
      </c>
      <c r="B2" s="5" t="s">
        <v>16</v>
      </c>
      <c r="C2" s="5" t="s">
        <v>17</v>
      </c>
      <c r="D2" s="5" t="s">
        <v>17</v>
      </c>
      <c r="E2" s="5" t="s">
        <v>17</v>
      </c>
      <c r="F2" s="5" t="s">
        <v>17</v>
      </c>
      <c r="G2" s="5" t="s">
        <v>17</v>
      </c>
      <c r="H2" s="5" t="s">
        <v>17</v>
      </c>
      <c r="I2" s="5" t="s">
        <v>17</v>
      </c>
      <c r="J2" s="5" t="s">
        <v>17</v>
      </c>
      <c r="K2" s="5" t="s">
        <v>17</v>
      </c>
      <c r="L2" s="5" t="s">
        <v>17</v>
      </c>
      <c r="M2" s="5" t="s">
        <v>17</v>
      </c>
      <c r="N2" s="5" t="s">
        <v>17</v>
      </c>
      <c r="O2" s="5" t="s">
        <v>17</v>
      </c>
    </row>
    <row r="3" spans="1:15">
      <c r="A3" s="7">
        <v>1</v>
      </c>
      <c r="B3" s="7" t="s">
        <v>34</v>
      </c>
      <c r="C3" s="9" t="str">
        <f t="shared" ref="C3:C6" si="0">DEC2BIN(HEX2DEC(MID(B3,3,2)),6)</f>
        <v>010000</v>
      </c>
      <c r="D3" s="9" t="str">
        <f t="shared" ref="D3:D6" si="1">LEFT(C3,3)</f>
        <v>010</v>
      </c>
      <c r="E3" s="9" t="str">
        <f t="shared" ref="E3:E6" si="2">MID(C3,4,2)</f>
        <v>00</v>
      </c>
      <c r="F3" s="9">
        <f t="shared" ref="F3:F6" si="3">VALUE(RIGHT(C3,1))</f>
        <v>0</v>
      </c>
      <c r="G3" s="9">
        <f t="shared" ref="G3:G6" si="4">IF(INDEX(L2:O2,1,BIN2DEC(E3)+1)="-",0,1)</f>
        <v>0</v>
      </c>
      <c r="H3" s="9" t="str">
        <f t="shared" ref="H3:H6" si="5">INDEX(L2:O2,1,BIN2DEC(E3)+1)</f>
        <v>-</v>
      </c>
      <c r="I3" s="9" t="str">
        <f t="shared" ref="I3:I6" si="6">IF(AND(G3=1,H3=D3),"ACERTO","FALTA")</f>
        <v>FALTA</v>
      </c>
      <c r="J3" s="9" t="str">
        <f t="shared" ref="J3:J6" si="7">IF(I3="ACERTO","-",IF(G3=0,"compulsoria","conflito"))</f>
        <v>compulsoria</v>
      </c>
      <c r="K3" s="9" t="str">
        <f t="shared" ref="K3:K6" si="8">D3</f>
        <v>010</v>
      </c>
      <c r="L3" s="8" t="str">
        <f t="shared" ref="L3:L6" si="9">IF(E3="00",D3,L2)</f>
        <v>010</v>
      </c>
      <c r="M3" s="8" t="str">
        <f t="shared" ref="M3:M6" si="10">IF(E3="01",D3,M2)</f>
        <v>-</v>
      </c>
      <c r="N3" s="8" t="str">
        <f t="shared" ref="N3:N6" si="11">IF(E3="10",D3,N2)</f>
        <v>-</v>
      </c>
      <c r="O3" s="8" t="str">
        <f t="shared" ref="O3:O6" si="12">IF(E3="11",D3,O2)</f>
        <v>-</v>
      </c>
    </row>
    <row r="4" spans="1:15" ht="15" customHeight="1">
      <c r="A4" s="7">
        <v>2</v>
      </c>
      <c r="B4" s="7" t="s">
        <v>35</v>
      </c>
      <c r="C4" s="9" t="str">
        <f t="shared" si="0"/>
        <v>011000</v>
      </c>
      <c r="D4" s="9" t="str">
        <f t="shared" si="1"/>
        <v>011</v>
      </c>
      <c r="E4" s="9" t="str">
        <f t="shared" si="2"/>
        <v>00</v>
      </c>
      <c r="F4" s="9">
        <f t="shared" si="3"/>
        <v>0</v>
      </c>
      <c r="G4" s="9">
        <f t="shared" si="4"/>
        <v>1</v>
      </c>
      <c r="H4" s="9" t="str">
        <f t="shared" si="5"/>
        <v>010</v>
      </c>
      <c r="I4" s="9" t="str">
        <f t="shared" si="6"/>
        <v>FALTA</v>
      </c>
      <c r="J4" s="9" t="str">
        <f t="shared" si="7"/>
        <v>conflito</v>
      </c>
      <c r="K4" s="9" t="str">
        <f t="shared" si="8"/>
        <v>011</v>
      </c>
      <c r="L4" s="8" t="str">
        <f t="shared" si="9"/>
        <v>011</v>
      </c>
      <c r="M4" s="8" t="str">
        <f t="shared" si="10"/>
        <v>-</v>
      </c>
      <c r="N4" s="8" t="str">
        <f t="shared" si="11"/>
        <v>-</v>
      </c>
      <c r="O4" s="8" t="str">
        <f t="shared" si="12"/>
        <v>-</v>
      </c>
    </row>
    <row r="5" spans="1:15">
      <c r="A5" s="7">
        <v>3</v>
      </c>
      <c r="B5" s="7" t="s">
        <v>36</v>
      </c>
      <c r="C5" s="9" t="str">
        <f t="shared" si="0"/>
        <v>101000</v>
      </c>
      <c r="D5" s="9" t="str">
        <f t="shared" si="1"/>
        <v>101</v>
      </c>
      <c r="E5" s="9" t="str">
        <f t="shared" si="2"/>
        <v>00</v>
      </c>
      <c r="F5" s="9">
        <f t="shared" si="3"/>
        <v>0</v>
      </c>
      <c r="G5" s="9">
        <f t="shared" si="4"/>
        <v>1</v>
      </c>
      <c r="H5" s="9" t="str">
        <f t="shared" si="5"/>
        <v>011</v>
      </c>
      <c r="I5" s="9" t="str">
        <f t="shared" si="6"/>
        <v>FALTA</v>
      </c>
      <c r="J5" s="9" t="str">
        <f t="shared" si="7"/>
        <v>conflito</v>
      </c>
      <c r="K5" s="9" t="str">
        <f t="shared" si="8"/>
        <v>101</v>
      </c>
      <c r="L5" s="8" t="str">
        <f t="shared" si="9"/>
        <v>101</v>
      </c>
      <c r="M5" s="8" t="str">
        <f t="shared" si="10"/>
        <v>-</v>
      </c>
      <c r="N5" s="8" t="str">
        <f t="shared" si="11"/>
        <v>-</v>
      </c>
      <c r="O5" s="8" t="str">
        <f t="shared" si="12"/>
        <v>-</v>
      </c>
    </row>
    <row r="6" spans="1:15">
      <c r="A6" s="7">
        <v>4</v>
      </c>
      <c r="B6" s="7" t="s">
        <v>37</v>
      </c>
      <c r="C6" s="9" t="str">
        <f t="shared" si="0"/>
        <v>111000</v>
      </c>
      <c r="D6" s="9" t="str">
        <f t="shared" si="1"/>
        <v>111</v>
      </c>
      <c r="E6" s="9" t="str">
        <f t="shared" si="2"/>
        <v>00</v>
      </c>
      <c r="F6" s="9">
        <f t="shared" si="3"/>
        <v>0</v>
      </c>
      <c r="G6" s="9">
        <f t="shared" si="4"/>
        <v>1</v>
      </c>
      <c r="H6" s="9" t="str">
        <f t="shared" si="5"/>
        <v>101</v>
      </c>
      <c r="I6" s="9" t="str">
        <f t="shared" si="6"/>
        <v>FALTA</v>
      </c>
      <c r="J6" s="9" t="str">
        <f t="shared" si="7"/>
        <v>conflito</v>
      </c>
      <c r="K6" s="9" t="str">
        <f t="shared" si="8"/>
        <v>111</v>
      </c>
      <c r="L6" s="8" t="str">
        <f t="shared" si="9"/>
        <v>111</v>
      </c>
      <c r="M6" s="8" t="str">
        <f t="shared" si="10"/>
        <v>-</v>
      </c>
      <c r="N6" s="8" t="str">
        <f t="shared" si="11"/>
        <v>-</v>
      </c>
      <c r="O6" s="8" t="str">
        <f>IF(E6="11",D6,O5)</f>
        <v>-</v>
      </c>
    </row>
    <row r="7" spans="1:1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</row>
    <row r="8" spans="1:15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</row>
    <row r="9" spans="1:1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</row>
    <row r="10" spans="1:15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"/>
  <sheetViews>
    <sheetView tabSelected="1" workbookViewId="0">
      <selection activeCell="B29" sqref="B29"/>
    </sheetView>
  </sheetViews>
  <sheetFormatPr defaultColWidth="12.7109375" defaultRowHeight="15" customHeight="1"/>
  <cols>
    <col min="1" max="1" width="36.7109375" customWidth="1"/>
    <col min="2" max="2" width="21" customWidth="1"/>
    <col min="3" max="11" width="7.7109375" customWidth="1"/>
  </cols>
  <sheetData>
    <row r="1" spans="1:2">
      <c r="A1" s="19" t="s">
        <v>38</v>
      </c>
      <c r="B1" s="20"/>
    </row>
    <row r="2" spans="1:2">
      <c r="A2" s="11" t="s">
        <v>39</v>
      </c>
      <c r="B2" s="12" t="s">
        <v>40</v>
      </c>
    </row>
    <row r="3" spans="1:2">
      <c r="A3" s="11" t="s">
        <v>41</v>
      </c>
      <c r="B3" s="13">
        <v>4</v>
      </c>
    </row>
    <row r="4" spans="1:2">
      <c r="A4" s="11" t="s">
        <v>42</v>
      </c>
      <c r="B4" s="13">
        <v>2</v>
      </c>
    </row>
    <row r="5" spans="1:2">
      <c r="A5" s="11" t="s">
        <v>43</v>
      </c>
      <c r="B5" s="12" t="s">
        <v>44</v>
      </c>
    </row>
    <row r="6" spans="1:2">
      <c r="A6" s="11" t="s">
        <v>45</v>
      </c>
      <c r="B6" s="12" t="s">
        <v>46</v>
      </c>
    </row>
    <row r="7" spans="1:2">
      <c r="A7" s="11" t="s">
        <v>47</v>
      </c>
      <c r="B7" s="13">
        <v>1</v>
      </c>
    </row>
    <row r="8" spans="1:2">
      <c r="A8" s="11" t="s">
        <v>48</v>
      </c>
      <c r="B8" s="13">
        <v>8</v>
      </c>
    </row>
    <row r="10" spans="1:2">
      <c r="A10" s="21" t="s">
        <v>49</v>
      </c>
      <c r="B10" s="20"/>
    </row>
    <row r="11" spans="1:2">
      <c r="A11" s="11" t="s">
        <v>50</v>
      </c>
      <c r="B11" s="14">
        <f>COUNTA('Traço Principal'!A3:A18)</f>
        <v>16</v>
      </c>
    </row>
    <row r="12" spans="1:2">
      <c r="A12" s="11" t="s">
        <v>51</v>
      </c>
      <c r="B12" s="14">
        <f>COUNTIF('Traço Principal'!I3:I18, "ACERTO")</f>
        <v>6</v>
      </c>
    </row>
    <row r="13" spans="1:2">
      <c r="A13" s="11" t="s">
        <v>52</v>
      </c>
      <c r="B13" s="14">
        <f>COUNTIF('Traço Principal'!I3:I18, "FALTA")</f>
        <v>7</v>
      </c>
    </row>
    <row r="14" spans="1:2">
      <c r="A14" s="11" t="s">
        <v>53</v>
      </c>
      <c r="B14" s="14">
        <f>COUNTIF('Traço Principal'!J3:J18, "compulsoria")</f>
        <v>4</v>
      </c>
    </row>
    <row r="15" spans="1:2">
      <c r="A15" s="11" t="s">
        <v>54</v>
      </c>
      <c r="B15" s="14">
        <f>COUNTIF('Traço Principal'!J3:J18, "conflito")</f>
        <v>6</v>
      </c>
    </row>
    <row r="16" spans="1:2">
      <c r="A16" s="11" t="s">
        <v>55</v>
      </c>
      <c r="B16" s="15">
        <f>B12/B11</f>
        <v>0.375</v>
      </c>
    </row>
    <row r="17" spans="1:2">
      <c r="A17" s="11" t="s">
        <v>56</v>
      </c>
      <c r="B17" s="15">
        <f>B13/B11</f>
        <v>0.4375</v>
      </c>
    </row>
    <row r="18" spans="1:2">
      <c r="A18" s="11" t="s">
        <v>57</v>
      </c>
      <c r="B18" s="16">
        <f>B7+(B17*B8)</f>
        <v>4.5</v>
      </c>
    </row>
    <row r="20" spans="1:2">
      <c r="A20" s="22" t="s">
        <v>58</v>
      </c>
      <c r="B20" s="20"/>
    </row>
    <row r="21" spans="1:2" ht="15.75" customHeight="1">
      <c r="A21" s="11" t="s">
        <v>59</v>
      </c>
      <c r="B21" s="14">
        <f>COUNTA('Teste de Conflito'!A3:A6)</f>
        <v>4</v>
      </c>
    </row>
    <row r="22" spans="1:2" ht="15.75" customHeight="1">
      <c r="A22" s="11" t="s">
        <v>51</v>
      </c>
      <c r="B22" s="14">
        <f>COUNTIF('Teste de Conflito'!I3:I6, "ACERTO")</f>
        <v>0</v>
      </c>
    </row>
    <row r="23" spans="1:2" ht="15.75" customHeight="1">
      <c r="A23" s="11" t="s">
        <v>52</v>
      </c>
      <c r="B23" s="14">
        <f>COUNTIF('Teste de Conflito'!I3:I6, "FALTA")</f>
        <v>4</v>
      </c>
    </row>
    <row r="24" spans="1:2" ht="15.75" customHeight="1">
      <c r="A24" s="11" t="s">
        <v>53</v>
      </c>
      <c r="B24" s="14">
        <f>COUNTIF('Teste de Conflito'!J3:J6, "compulsoria")</f>
        <v>1</v>
      </c>
    </row>
    <row r="25" spans="1:2" ht="15.75" customHeight="1">
      <c r="A25" s="11" t="s">
        <v>54</v>
      </c>
      <c r="B25" s="14">
        <f>COUNTIF('Teste de Conflito'!J3:J6, "conflito")</f>
        <v>3</v>
      </c>
    </row>
    <row r="26" spans="1:2" ht="15.75" customHeight="1">
      <c r="A26" s="17"/>
      <c r="B26" s="17"/>
    </row>
    <row r="27" spans="1:2" ht="15.75" customHeight="1">
      <c r="A27" s="17"/>
      <c r="B27" s="17"/>
    </row>
    <row r="28" spans="1:2" ht="15.75" customHeight="1">
      <c r="A28" s="17"/>
      <c r="B28" s="17"/>
    </row>
    <row r="29" spans="1:2" ht="15.75" customHeight="1">
      <c r="A29" s="17"/>
      <c r="B29" s="18"/>
    </row>
    <row r="30" spans="1:2" ht="15.75" customHeight="1">
      <c r="A30" s="17"/>
      <c r="B30" s="17"/>
    </row>
    <row r="31" spans="1:2" ht="15.75" customHeight="1">
      <c r="A31" s="17"/>
      <c r="B31" s="17"/>
    </row>
    <row r="32" spans="1:2" ht="15.75" customHeight="1">
      <c r="A32" s="17"/>
      <c r="B32" s="17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3">
    <mergeCell ref="A20:B20"/>
    <mergeCell ref="A10:B10"/>
    <mergeCell ref="A1:B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2026-10-01T04:16:28Z</dcterms:created>
  <dcterms:modified xsi:type="dcterms:W3CDTF">2026-10-01T09:13:19Z</dcterms:modified>
  <cp:category/>
  <cp:contentStatus/>
</cp:coreProperties>
</file>